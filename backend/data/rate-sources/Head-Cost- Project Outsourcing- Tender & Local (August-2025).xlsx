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-Cost-Project Outsourcing (" sheetId="1" r:id="rId5"/>
  </sheets>
  <definedNames/>
  <calcPr/>
</workbook>
</file>

<file path=xl/sharedStrings.xml><?xml version="1.0" encoding="utf-8"?>
<sst xmlns="http://schemas.openxmlformats.org/spreadsheetml/2006/main" count="100" uniqueCount="72">
  <si>
    <t>Head-Cost-Project Outsourcing (Tender &amp; Local):</t>
  </si>
  <si>
    <t>USD&gt;BDT.</t>
  </si>
  <si>
    <t>Sl.</t>
  </si>
  <si>
    <t>Departments</t>
  </si>
  <si>
    <t>Heads</t>
  </si>
  <si>
    <t>Monthly Head Cost (BDT)</t>
  </si>
  <si>
    <t>Daily Head Cost (BDT)</t>
  </si>
  <si>
    <t>Hourly Cost
(BDT)</t>
  </si>
  <si>
    <t>X</t>
  </si>
  <si>
    <t>Monthly Head Cost (USD)</t>
  </si>
  <si>
    <t>Daily Head Cost (USD)</t>
  </si>
  <si>
    <t>Hourly Cost (USD)</t>
  </si>
  <si>
    <t>Product Management &amp; Delivery</t>
  </si>
  <si>
    <t>Product/Project Manager</t>
  </si>
  <si>
    <t>Technical Lead</t>
  </si>
  <si>
    <t>Lead Artist</t>
  </si>
  <si>
    <t>Product Design &amp; Planning</t>
  </si>
  <si>
    <t>Product Designer</t>
  </si>
  <si>
    <t>Systech Architect</t>
  </si>
  <si>
    <t>Data Analyst</t>
  </si>
  <si>
    <t>Cloud Architect</t>
  </si>
  <si>
    <t>UX Lead</t>
  </si>
  <si>
    <t>Graphics</t>
  </si>
  <si>
    <t>Sr. UI/UX Designer</t>
  </si>
  <si>
    <t>Mid UI/UX Designer</t>
  </si>
  <si>
    <t>Jr. UI/UX Designer</t>
  </si>
  <si>
    <t>Sr. Graphics Designer</t>
  </si>
  <si>
    <t>Mid Graphics Designer</t>
  </si>
  <si>
    <t>Jr. Graphics Designer</t>
  </si>
  <si>
    <t>Sr. Video Editor</t>
  </si>
  <si>
    <t>Mid Video Editor</t>
  </si>
  <si>
    <t>Jr. Video Editor</t>
  </si>
  <si>
    <t>Art</t>
  </si>
  <si>
    <t>Art Director / Creative Lead</t>
  </si>
  <si>
    <t>Sr. Concept Artist</t>
  </si>
  <si>
    <t>Mid Concept Artist</t>
  </si>
  <si>
    <t>Technical Artist</t>
  </si>
  <si>
    <t>Sr. Environment Artist</t>
  </si>
  <si>
    <t>Mid Environment Artist</t>
  </si>
  <si>
    <t>Sr. Props Artist</t>
  </si>
  <si>
    <t>Mid Props Artist</t>
  </si>
  <si>
    <t>Sr. Character Artist</t>
  </si>
  <si>
    <t>Mid Character Artist</t>
  </si>
  <si>
    <t>Sr. Animator</t>
  </si>
  <si>
    <t>Mid Animator</t>
  </si>
  <si>
    <t>Engineering</t>
  </si>
  <si>
    <t>Sr. Game Developer</t>
  </si>
  <si>
    <t>Mid Game Developer</t>
  </si>
  <si>
    <t>Sr. iOS Developer</t>
  </si>
  <si>
    <t>Mid iOS Developer</t>
  </si>
  <si>
    <t xml:space="preserve">Sr. Android / Flutter Developer </t>
  </si>
  <si>
    <t xml:space="preserve">Mid. Android / Flutter Developer </t>
  </si>
  <si>
    <t>Sr. DotNet/Java Developer</t>
  </si>
  <si>
    <t>Mid DotNet/Java Developer</t>
  </si>
  <si>
    <t>Sr.Front-end Web Developer</t>
  </si>
  <si>
    <t>Mid Front-end Web Developer</t>
  </si>
  <si>
    <t>Sr. Back-end Web Developer</t>
  </si>
  <si>
    <t xml:space="preserve">Mid Back-end Web Developer
</t>
  </si>
  <si>
    <t>Server</t>
  </si>
  <si>
    <t>Dev Ops Engineer</t>
  </si>
  <si>
    <t>Sr. Server Administrator</t>
  </si>
  <si>
    <t>Mid Server Administrator</t>
  </si>
  <si>
    <t>Support Engineer</t>
  </si>
  <si>
    <t xml:space="preserve">Quality Assurance
</t>
  </si>
  <si>
    <t>QA Lead</t>
  </si>
  <si>
    <t>Sr.Quality Assurance (QA) Engineer</t>
  </si>
  <si>
    <t>Mid Quality Assurance (QA) Engineer</t>
  </si>
  <si>
    <t>Tester</t>
  </si>
  <si>
    <t>Others</t>
  </si>
  <si>
    <t>Sound Engineer</t>
  </si>
  <si>
    <t>Voice Over Artist</t>
  </si>
  <si>
    <t>Proof Reader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</si>
</sst>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৳]#,##0.00"/>
    <numFmt numFmtId="165" formatCode="[$৳]#,##0"/>
    <numFmt numFmtId="166" formatCode="[$$]#,##0"/>
  </numFmts>
  <fonts count="7">
    <font>
      <sz val="10.0"/>
      <color rgb="FF000000"/>
      <name val="Arial"/>
      <scheme val="minor"/>
    </font>
    <font>
      <b/>
      <sz val="14.0"/>
      <color theme="1"/>
      <name val="Open Sans"/>
    </font>
    <font/>
    <font>
      <b/>
      <sz val="11.0"/>
      <color theme="1"/>
      <name val="Open Sans"/>
    </font>
    <font>
      <sz val="11.0"/>
      <color theme="1"/>
      <name val="Calibri"/>
    </font>
    <font>
      <color theme="1"/>
      <name val="Open Sans"/>
    </font>
    <font>
      <sz val="11.0"/>
      <color theme="1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5" fillId="2" fontId="3" numFmtId="3" xfId="0" applyAlignment="1" applyBorder="1" applyFont="1" applyNumberFormat="1">
      <alignment horizontal="center" shrinkToFit="0" vertical="center" wrapText="1"/>
    </xf>
    <xf borderId="6" fillId="2" fontId="3" numFmtId="4" xfId="0" applyAlignment="1" applyBorder="1" applyFont="1" applyNumberFormat="1">
      <alignment horizontal="center" shrinkToFit="0" vertical="center" wrapText="1"/>
    </xf>
    <xf borderId="6" fillId="2" fontId="3" numFmtId="3" xfId="0" applyAlignment="1" applyBorder="1" applyFont="1" applyNumberFormat="1">
      <alignment horizontal="center" shrinkToFit="0" vertical="center" wrapText="1"/>
    </xf>
    <xf borderId="6" fillId="2" fontId="3" numFmtId="164" xfId="0" applyAlignment="1" applyBorder="1" applyFont="1" applyNumberFormat="1">
      <alignment horizontal="center" shrinkToFit="0" vertical="center" wrapText="1"/>
    </xf>
    <xf borderId="7" fillId="2" fontId="3" numFmtId="4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9" fillId="0" fontId="6" numFmtId="3" xfId="0" applyAlignment="1" applyBorder="1" applyFont="1" applyNumberFormat="1">
      <alignment horizontal="center" shrinkToFit="0" vertical="center" wrapText="1"/>
    </xf>
    <xf borderId="10" fillId="0" fontId="6" numFmtId="4" xfId="0" applyAlignment="1" applyBorder="1" applyFont="1" applyNumberFormat="1">
      <alignment horizontal="center" shrinkToFit="0" vertical="center" wrapText="1"/>
    </xf>
    <xf borderId="0" fillId="0" fontId="6" numFmtId="4" xfId="0" applyAlignment="1" applyFont="1" applyNumberFormat="1">
      <alignment horizontal="right" shrinkToFit="0" vertical="center" wrapText="1"/>
    </xf>
    <xf borderId="6" fillId="0" fontId="6" numFmtId="3" xfId="0" applyAlignment="1" applyBorder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6" fillId="0" fontId="6" numFmtId="166" xfId="0" applyAlignment="1" applyBorder="1" applyFont="1" applyNumberFormat="1">
      <alignment horizontal="center" shrinkToFit="0" vertical="center" wrapText="1"/>
    </xf>
    <xf borderId="7" fillId="0" fontId="6" numFmtId="166" xfId="0" applyAlignment="1" applyBorder="1" applyFont="1" applyNumberForma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6" fillId="0" fontId="6" numFmtId="4" xfId="0" applyAlignment="1" applyBorder="1" applyFont="1" applyNumberFormat="1">
      <alignment horizontal="right" shrinkToFit="0" vertical="center" wrapText="1"/>
    </xf>
    <xf borderId="13" fillId="0" fontId="2" numFmtId="0" xfId="0" applyBorder="1" applyFont="1"/>
    <xf borderId="14" fillId="0" fontId="2" numFmtId="0" xfId="0" applyBorder="1" applyFont="1"/>
    <xf borderId="10" fillId="0" fontId="6" numFmtId="4" xfId="0" applyAlignment="1" applyBorder="1" applyFont="1" applyNumberFormat="1">
      <alignment horizontal="right" shrinkToFit="0" vertical="center" wrapText="1"/>
    </xf>
    <xf borderId="10" fillId="0" fontId="6" numFmtId="3" xfId="0" applyAlignment="1" applyBorder="1" applyFont="1" applyNumberFormat="1">
      <alignment horizontal="center" shrinkToFit="0" vertical="center" wrapText="1"/>
    </xf>
    <xf borderId="10" fillId="0" fontId="6" numFmtId="164" xfId="0" applyAlignment="1" applyBorder="1" applyFont="1" applyNumberFormat="1">
      <alignment horizontal="center" shrinkToFit="0" vertical="center" wrapText="1"/>
    </xf>
    <xf borderId="10" fillId="0" fontId="6" numFmtId="165" xfId="0" applyAlignment="1" applyBorder="1" applyFont="1" applyNumberFormat="1">
      <alignment horizontal="center" shrinkToFit="0" vertical="center" wrapText="1"/>
    </xf>
    <xf borderId="10" fillId="0" fontId="6" numFmtId="166" xfId="0" applyAlignment="1" applyBorder="1" applyFont="1" applyNumberFormat="1">
      <alignment horizontal="center" shrinkToFit="0" vertical="center" wrapText="1"/>
    </xf>
    <xf borderId="15" fillId="0" fontId="6" numFmtId="166" xfId="0" applyAlignment="1" applyBorder="1" applyFont="1" applyNumberFormat="1">
      <alignment horizontal="center" shrinkToFit="0" vertical="center" wrapText="1"/>
    </xf>
    <xf borderId="16" fillId="0" fontId="4" numFmtId="3" xfId="0" applyAlignment="1" applyBorder="1" applyFont="1" applyNumberFormat="1">
      <alignment shrinkToFit="0" vertical="center" wrapText="1"/>
    </xf>
    <xf borderId="17" fillId="0" fontId="4" numFmtId="4" xfId="0" applyAlignment="1" applyBorder="1" applyFont="1" applyNumberFormat="1">
      <alignment shrinkToFit="0" vertical="center" wrapText="1"/>
    </xf>
    <xf borderId="17" fillId="3" fontId="4" numFmtId="4" xfId="0" applyAlignment="1" applyBorder="1" applyFill="1" applyFont="1" applyNumberFormat="1">
      <alignment horizontal="right" shrinkToFit="0" vertical="center" wrapText="1"/>
    </xf>
    <xf borderId="17" fillId="0" fontId="4" numFmtId="3" xfId="0" applyAlignment="1" applyBorder="1" applyFont="1" applyNumberFormat="1">
      <alignment shrinkToFit="0" vertical="center" wrapText="1"/>
    </xf>
    <xf borderId="17" fillId="0" fontId="4" numFmtId="164" xfId="0" applyAlignment="1" applyBorder="1" applyFont="1" applyNumberFormat="1">
      <alignment shrinkToFit="0" vertical="center" wrapText="1"/>
    </xf>
    <xf borderId="17" fillId="0" fontId="4" numFmtId="165" xfId="0" applyAlignment="1" applyBorder="1" applyFont="1" applyNumberFormat="1">
      <alignment shrinkToFit="0" vertical="center" wrapText="1"/>
    </xf>
    <xf borderId="17" fillId="0" fontId="4" numFmtId="166" xfId="0" applyAlignment="1" applyBorder="1" applyFont="1" applyNumberFormat="1">
      <alignment shrinkToFit="0" vertical="center" wrapText="1"/>
    </xf>
    <xf borderId="18" fillId="0" fontId="4" numFmtId="166" xfId="0" applyAlignment="1" applyBorder="1" applyFont="1" applyNumberFormat="1">
      <alignment shrinkToFit="0" vertical="center" wrapText="1"/>
    </xf>
    <xf borderId="11" fillId="0" fontId="6" numFmtId="3" xfId="0" applyAlignment="1" applyBorder="1" applyFont="1" applyNumberFormat="1">
      <alignment horizontal="center" shrinkToFit="0" vertical="center" wrapText="1"/>
    </xf>
    <xf borderId="12" fillId="0" fontId="6" numFmtId="4" xfId="0" applyAlignment="1" applyBorder="1" applyFont="1" applyNumberFormat="1">
      <alignment horizontal="center" shrinkToFit="0" vertical="center" wrapText="1"/>
    </xf>
    <xf borderId="14" fillId="3" fontId="6" numFmtId="4" xfId="0" applyAlignment="1" applyBorder="1" applyFont="1" applyNumberFormat="1">
      <alignment horizontal="right" shrinkToFit="0" vertical="center" wrapText="1"/>
    </xf>
    <xf borderId="14" fillId="0" fontId="6" numFmtId="3" xfId="0" applyAlignment="1" applyBorder="1" applyFont="1" applyNumberFormat="1">
      <alignment horizontal="center" shrinkToFit="0" vertical="center" wrapText="1"/>
    </xf>
    <xf borderId="14" fillId="0" fontId="6" numFmtId="164" xfId="0" applyAlignment="1" applyBorder="1" applyFont="1" applyNumberFormat="1">
      <alignment horizontal="center" shrinkToFit="0" vertical="center" wrapText="1"/>
    </xf>
    <xf borderId="14" fillId="0" fontId="6" numFmtId="165" xfId="0" applyAlignment="1" applyBorder="1" applyFont="1" applyNumberFormat="1">
      <alignment horizontal="center" shrinkToFit="0" vertical="center" wrapText="1"/>
    </xf>
    <xf borderId="14" fillId="0" fontId="6" numFmtId="166" xfId="0" applyAlignment="1" applyBorder="1" applyFont="1" applyNumberFormat="1">
      <alignment horizontal="center" shrinkToFit="0" vertical="center" wrapText="1"/>
    </xf>
    <xf borderId="19" fillId="0" fontId="6" numFmtId="166" xfId="0" applyAlignment="1" applyBorder="1" applyFont="1" applyNumberFormat="1">
      <alignment horizontal="center" shrinkToFit="0" vertical="center" wrapText="1"/>
    </xf>
    <xf borderId="6" fillId="3" fontId="6" numFmtId="4" xfId="0" applyAlignment="1" applyBorder="1" applyFont="1" applyNumberFormat="1">
      <alignment horizontal="right" shrinkToFit="0" vertical="center" wrapText="1"/>
    </xf>
    <xf borderId="20" fillId="0" fontId="4" numFmtId="4" xfId="0" applyAlignment="1" applyBorder="1" applyFont="1" applyNumberFormat="1">
      <alignment shrinkToFit="0" vertical="center" wrapText="1"/>
    </xf>
    <xf borderId="20" fillId="0" fontId="2" numFmtId="0" xfId="0" applyBorder="1" applyFont="1"/>
    <xf borderId="21" fillId="0" fontId="2" numFmtId="0" xfId="0" applyBorder="1" applyFont="1"/>
    <xf borderId="6" fillId="0" fontId="4" numFmtId="3" xfId="0" applyAlignment="1" applyBorder="1" applyFont="1" applyNumberFormat="1">
      <alignment shrinkToFit="0" vertical="center" wrapText="1"/>
    </xf>
    <xf borderId="22" fillId="3" fontId="4" numFmtId="4" xfId="0" applyAlignment="1" applyBorder="1" applyFont="1" applyNumberFormat="1">
      <alignment horizontal="right" shrinkToFit="0" vertical="center" wrapText="1"/>
    </xf>
    <xf borderId="10" fillId="3" fontId="6" numFmtId="4" xfId="0" applyAlignment="1" applyBorder="1" applyFont="1" applyNumberFormat="1">
      <alignment horizontal="right" shrinkToFit="0" vertical="center" wrapText="1"/>
    </xf>
    <xf borderId="10" fillId="0" fontId="4" numFmtId="3" xfId="0" applyAlignment="1" applyBorder="1" applyFont="1" applyNumberFormat="1">
      <alignment shrinkToFit="0" vertical="center" wrapText="1"/>
    </xf>
    <xf borderId="12" fillId="3" fontId="6" numFmtId="4" xfId="0" applyAlignment="1" applyBorder="1" applyFont="1" applyNumberFormat="1">
      <alignment horizontal="right" shrinkToFit="0" vertical="center" wrapText="1"/>
    </xf>
    <xf borderId="12" fillId="0" fontId="6" numFmtId="3" xfId="0" applyAlignment="1" applyBorder="1" applyFont="1" applyNumberFormat="1">
      <alignment horizontal="center" shrinkToFit="0" vertical="center" wrapText="1"/>
    </xf>
    <xf borderId="12" fillId="0" fontId="6" numFmtId="164" xfId="0" applyAlignment="1" applyBorder="1" applyFont="1" applyNumberFormat="1">
      <alignment horizontal="center" shrinkToFit="0" vertical="center" wrapText="1"/>
    </xf>
    <xf borderId="12" fillId="0" fontId="6" numFmtId="165" xfId="0" applyAlignment="1" applyBorder="1" applyFont="1" applyNumberFormat="1">
      <alignment horizontal="center" shrinkToFit="0" vertical="center" wrapText="1"/>
    </xf>
    <xf borderId="12" fillId="0" fontId="6" numFmtId="166" xfId="0" applyAlignment="1" applyBorder="1" applyFont="1" applyNumberFormat="1">
      <alignment horizontal="center" shrinkToFit="0" vertical="center" wrapText="1"/>
    </xf>
    <xf borderId="23" fillId="0" fontId="6" numFmtId="166" xfId="0" applyAlignment="1" applyBorder="1" applyFont="1" applyNumberForma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3" fontId="6" numFmtId="4" xfId="0" applyAlignment="1" applyBorder="1" applyFont="1" applyNumberFormat="1">
      <alignment horizontal="right" shrinkToFit="0" vertical="center" wrapText="1"/>
    </xf>
    <xf borderId="26" fillId="0" fontId="6" numFmtId="3" xfId="0" applyAlignment="1" applyBorder="1" applyFont="1" applyNumberFormat="1">
      <alignment horizontal="center" shrinkToFit="0" vertical="center" wrapText="1"/>
    </xf>
    <xf borderId="26" fillId="0" fontId="6" numFmtId="164" xfId="0" applyAlignment="1" applyBorder="1" applyFont="1" applyNumberFormat="1">
      <alignment horizontal="center" shrinkToFit="0" vertical="center" wrapText="1"/>
    </xf>
    <xf borderId="26" fillId="0" fontId="6" numFmtId="165" xfId="0" applyAlignment="1" applyBorder="1" applyFont="1" applyNumberFormat="1">
      <alignment horizontal="center" shrinkToFit="0" vertical="center" wrapText="1"/>
    </xf>
    <xf borderId="26" fillId="0" fontId="4" numFmtId="3" xfId="0" applyAlignment="1" applyBorder="1" applyFont="1" applyNumberFormat="1">
      <alignment shrinkToFit="0" vertical="center" wrapText="1"/>
    </xf>
    <xf borderId="26" fillId="0" fontId="6" numFmtId="166" xfId="0" applyAlignment="1" applyBorder="1" applyFont="1" applyNumberFormat="1">
      <alignment horizontal="center" shrinkToFit="0" vertical="center" wrapText="1"/>
    </xf>
    <xf borderId="27" fillId="0" fontId="6" numFmtId="166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4" numFmtId="166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  <col customWidth="1" min="2" max="2" width="24.63"/>
    <col customWidth="1" min="3" max="3" width="23.25"/>
    <col customWidth="1" min="4" max="4" width="10.25"/>
    <col customWidth="1" min="5" max="5" width="10.88"/>
    <col customWidth="1" min="6" max="6" width="11.63"/>
    <col customWidth="1" min="7" max="7" width="6.0"/>
    <col customWidth="1" min="8" max="8" width="10.25"/>
    <col customWidth="1" min="9" max="9" width="10.88"/>
    <col customWidth="1" min="10" max="10" width="11.75"/>
    <col customWidth="1" min="11" max="11" width="10.13"/>
    <col customWidth="1" min="12" max="12" width="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  <c r="L1" s="5">
        <v>120.0</v>
      </c>
      <c r="M1" s="6"/>
      <c r="N1" s="6"/>
      <c r="O1" s="6"/>
      <c r="P1" s="6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</v>
      </c>
      <c r="B2" s="9" t="s">
        <v>3</v>
      </c>
      <c r="C2" s="9" t="s">
        <v>4</v>
      </c>
      <c r="D2" s="10" t="s">
        <v>5</v>
      </c>
      <c r="E2" s="11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2" t="s">
        <v>11</v>
      </c>
      <c r="K2" s="13"/>
      <c r="L2" s="13"/>
      <c r="M2" s="6"/>
      <c r="N2" s="6"/>
      <c r="O2" s="6"/>
      <c r="P2" s="6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>
        <v>1.0</v>
      </c>
      <c r="B3" s="15" t="s">
        <v>12</v>
      </c>
      <c r="C3" s="16" t="s">
        <v>13</v>
      </c>
      <c r="D3" s="17">
        <v>124369.5</v>
      </c>
      <c r="E3" s="18">
        <f t="shared" ref="E3:E5" si="2">SUM(D3/22)</f>
        <v>5653.159091</v>
      </c>
      <c r="F3" s="19">
        <f t="shared" ref="F3:F5" si="3">(E3/8)+((E3/8)*220%)</f>
        <v>2261.263636</v>
      </c>
      <c r="G3" s="17" t="s">
        <v>8</v>
      </c>
      <c r="H3" s="20">
        <f t="shared" ref="H3:I3" si="1">SUM(D3/$L$1)</f>
        <v>1036.4125</v>
      </c>
      <c r="I3" s="20">
        <f t="shared" si="1"/>
        <v>47.10965909</v>
      </c>
      <c r="J3" s="21">
        <f t="shared" ref="J3:J5" si="5">(I3/8)+((I3/8)*220%)</f>
        <v>18.84386364</v>
      </c>
      <c r="K3" s="6"/>
      <c r="L3" s="6"/>
      <c r="M3" s="6"/>
      <c r="N3" s="6"/>
      <c r="O3" s="6"/>
      <c r="P3" s="6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2"/>
      <c r="B4" s="23"/>
      <c r="C4" s="24" t="s">
        <v>14</v>
      </c>
      <c r="D4" s="17">
        <v>159531.0</v>
      </c>
      <c r="E4" s="18">
        <f t="shared" si="2"/>
        <v>7251.409091</v>
      </c>
      <c r="F4" s="19">
        <f t="shared" si="3"/>
        <v>2900.563636</v>
      </c>
      <c r="G4" s="17" t="s">
        <v>8</v>
      </c>
      <c r="H4" s="20">
        <f t="shared" ref="H4:I4" si="4">SUM(D4/$L$1)</f>
        <v>1329.425</v>
      </c>
      <c r="I4" s="20">
        <f t="shared" si="4"/>
        <v>60.42840909</v>
      </c>
      <c r="J4" s="21">
        <f t="shared" si="5"/>
        <v>24.17136364</v>
      </c>
      <c r="K4" s="6"/>
      <c r="L4" s="6"/>
      <c r="M4" s="6"/>
      <c r="N4" s="6"/>
      <c r="O4" s="6"/>
      <c r="P4" s="6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5"/>
      <c r="B5" s="26"/>
      <c r="C5" s="27" t="s">
        <v>15</v>
      </c>
      <c r="D5" s="28">
        <v>139709.0</v>
      </c>
      <c r="E5" s="29">
        <f t="shared" si="2"/>
        <v>6350.409091</v>
      </c>
      <c r="F5" s="30">
        <f t="shared" si="3"/>
        <v>2540.163636</v>
      </c>
      <c r="G5" s="28" t="s">
        <v>8</v>
      </c>
      <c r="H5" s="31">
        <f t="shared" ref="H5:I5" si="6">SUM(D5/$L$1)</f>
        <v>1164.241667</v>
      </c>
      <c r="I5" s="31">
        <f t="shared" si="6"/>
        <v>52.92007576</v>
      </c>
      <c r="J5" s="32">
        <f t="shared" si="5"/>
        <v>21.1680303</v>
      </c>
      <c r="K5" s="6"/>
      <c r="L5" s="6"/>
      <c r="M5" s="6"/>
      <c r="N5" s="6"/>
      <c r="O5" s="6"/>
      <c r="P5" s="6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3"/>
      <c r="B6" s="34"/>
      <c r="C6" s="35"/>
      <c r="D6" s="36"/>
      <c r="E6" s="37"/>
      <c r="F6" s="38"/>
      <c r="G6" s="36"/>
      <c r="H6" s="39"/>
      <c r="I6" s="39"/>
      <c r="J6" s="40"/>
      <c r="K6" s="6"/>
      <c r="L6" s="6"/>
      <c r="M6" s="6"/>
      <c r="N6" s="6"/>
      <c r="O6" s="6"/>
      <c r="P6" s="6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1">
        <v>2.0</v>
      </c>
      <c r="B7" s="42" t="s">
        <v>16</v>
      </c>
      <c r="C7" s="43" t="s">
        <v>17</v>
      </c>
      <c r="D7" s="44">
        <v>112000.0</v>
      </c>
      <c r="E7" s="45">
        <f t="shared" ref="E7:E11" si="8">SUM(D7/22)</f>
        <v>5090.909091</v>
      </c>
      <c r="F7" s="46">
        <f t="shared" ref="F7:F11" si="9">(E7/8)+((E7/8)*220%)</f>
        <v>2036.363636</v>
      </c>
      <c r="G7" s="44" t="s">
        <v>8</v>
      </c>
      <c r="H7" s="47">
        <f t="shared" ref="H7:I7" si="7">SUM(D7/$L$1)</f>
        <v>933.3333333</v>
      </c>
      <c r="I7" s="47">
        <f t="shared" si="7"/>
        <v>42.42424242</v>
      </c>
      <c r="J7" s="48">
        <f t="shared" ref="J7:J11" si="11">(I7/8)+((I7/8)*220%)</f>
        <v>16.96969697</v>
      </c>
      <c r="K7" s="6"/>
      <c r="L7" s="6"/>
      <c r="M7" s="6"/>
      <c r="N7" s="6"/>
      <c r="O7" s="6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2"/>
      <c r="B8" s="23"/>
      <c r="C8" s="49" t="s">
        <v>18</v>
      </c>
      <c r="D8" s="17">
        <v>145000.0</v>
      </c>
      <c r="E8" s="18">
        <f t="shared" si="8"/>
        <v>6590.909091</v>
      </c>
      <c r="F8" s="19">
        <f t="shared" si="9"/>
        <v>2636.363636</v>
      </c>
      <c r="G8" s="17" t="s">
        <v>8</v>
      </c>
      <c r="H8" s="20">
        <f t="shared" ref="H8:I8" si="10">SUM(D8/$L$1)</f>
        <v>1208.333333</v>
      </c>
      <c r="I8" s="20">
        <f t="shared" si="10"/>
        <v>54.92424242</v>
      </c>
      <c r="J8" s="21">
        <f t="shared" si="11"/>
        <v>21.96969697</v>
      </c>
      <c r="K8" s="50"/>
      <c r="L8" s="51"/>
      <c r="M8" s="51"/>
      <c r="N8" s="51"/>
      <c r="O8" s="51"/>
      <c r="P8" s="52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2"/>
      <c r="B9" s="23"/>
      <c r="C9" s="49" t="s">
        <v>19</v>
      </c>
      <c r="D9" s="17">
        <v>101000.0</v>
      </c>
      <c r="E9" s="18">
        <f t="shared" si="8"/>
        <v>4590.909091</v>
      </c>
      <c r="F9" s="19">
        <f t="shared" si="9"/>
        <v>1836.363636</v>
      </c>
      <c r="G9" s="53"/>
      <c r="H9" s="20">
        <f t="shared" ref="H9:I9" si="12">SUM(D9/$L$1)</f>
        <v>841.6666667</v>
      </c>
      <c r="I9" s="20">
        <f t="shared" si="12"/>
        <v>38.25757576</v>
      </c>
      <c r="J9" s="21">
        <f t="shared" si="11"/>
        <v>15.3030303</v>
      </c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2"/>
      <c r="B10" s="23"/>
      <c r="C10" s="49" t="s">
        <v>20</v>
      </c>
      <c r="D10" s="17">
        <v>145000.0</v>
      </c>
      <c r="E10" s="18">
        <f t="shared" si="8"/>
        <v>6590.909091</v>
      </c>
      <c r="F10" s="19">
        <f t="shared" si="9"/>
        <v>2636.363636</v>
      </c>
      <c r="G10" s="17" t="s">
        <v>8</v>
      </c>
      <c r="H10" s="20">
        <f t="shared" ref="H10:I10" si="13">SUM(D10/$L$1)</f>
        <v>1208.333333</v>
      </c>
      <c r="I10" s="20">
        <f t="shared" si="13"/>
        <v>54.92424242</v>
      </c>
      <c r="J10" s="21">
        <f t="shared" si="11"/>
        <v>21.96969697</v>
      </c>
      <c r="K10" s="6"/>
      <c r="L10" s="6"/>
      <c r="M10" s="6"/>
      <c r="N10" s="6"/>
      <c r="O10" s="6"/>
      <c r="P10" s="6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5"/>
      <c r="B11" s="26"/>
      <c r="C11" s="49" t="s">
        <v>21</v>
      </c>
      <c r="D11" s="17">
        <v>117500.0</v>
      </c>
      <c r="E11" s="18">
        <f t="shared" si="8"/>
        <v>5340.909091</v>
      </c>
      <c r="F11" s="19">
        <f t="shared" si="9"/>
        <v>2136.363636</v>
      </c>
      <c r="G11" s="17" t="s">
        <v>8</v>
      </c>
      <c r="H11" s="20">
        <f t="shared" ref="H11:I11" si="14">SUM(D11/$L$1)</f>
        <v>979.1666667</v>
      </c>
      <c r="I11" s="20">
        <f t="shared" si="14"/>
        <v>44.50757576</v>
      </c>
      <c r="J11" s="21">
        <f t="shared" si="11"/>
        <v>17.8030303</v>
      </c>
      <c r="K11" s="6"/>
      <c r="L11" s="6"/>
      <c r="M11" s="6"/>
      <c r="N11" s="6"/>
      <c r="O11" s="6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3"/>
      <c r="B12" s="34"/>
      <c r="C12" s="35"/>
      <c r="D12" s="36"/>
      <c r="E12" s="37"/>
      <c r="F12" s="38"/>
      <c r="G12" s="36"/>
      <c r="H12" s="39"/>
      <c r="I12" s="39"/>
      <c r="J12" s="40"/>
      <c r="K12" s="6"/>
      <c r="L12" s="6"/>
      <c r="M12" s="6"/>
      <c r="N12" s="6"/>
      <c r="O12" s="6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4">
        <v>3.0</v>
      </c>
      <c r="B13" s="15" t="s">
        <v>22</v>
      </c>
      <c r="C13" s="49" t="s">
        <v>23</v>
      </c>
      <c r="D13" s="17">
        <v>116000.0</v>
      </c>
      <c r="E13" s="18">
        <f t="shared" ref="E13:E15" si="16">SUM(D13/22)</f>
        <v>5272.727273</v>
      </c>
      <c r="F13" s="19">
        <f t="shared" ref="F13:F15" si="17">(E13/8)+((E13/8)*220%)</f>
        <v>2109.090909</v>
      </c>
      <c r="G13" s="17" t="s">
        <v>8</v>
      </c>
      <c r="H13" s="20">
        <f t="shared" ref="H13:I13" si="15">SUM(D13/$L$1)</f>
        <v>966.6666667</v>
      </c>
      <c r="I13" s="20">
        <f t="shared" si="15"/>
        <v>43.93939394</v>
      </c>
      <c r="J13" s="21">
        <f t="shared" ref="J13:J15" si="19">(I13/8)+((I13/8)*220%)</f>
        <v>17.57575758</v>
      </c>
      <c r="K13" s="6"/>
      <c r="L13" s="6"/>
      <c r="M13" s="6"/>
      <c r="N13" s="6"/>
      <c r="O13" s="6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2"/>
      <c r="B14" s="23"/>
      <c r="C14" s="49" t="s">
        <v>24</v>
      </c>
      <c r="D14" s="17">
        <v>91200.0</v>
      </c>
      <c r="E14" s="18">
        <f t="shared" si="16"/>
        <v>4145.454545</v>
      </c>
      <c r="F14" s="19">
        <f t="shared" si="17"/>
        <v>1658.181818</v>
      </c>
      <c r="G14" s="53"/>
      <c r="H14" s="20">
        <f t="shared" ref="H14:I14" si="18">SUM(D14/$L$1)</f>
        <v>760</v>
      </c>
      <c r="I14" s="20">
        <f t="shared" si="18"/>
        <v>34.54545455</v>
      </c>
      <c r="J14" s="21">
        <f t="shared" si="19"/>
        <v>13.81818182</v>
      </c>
      <c r="K14" s="6"/>
      <c r="L14" s="6"/>
      <c r="M14" s="6"/>
      <c r="N14" s="6"/>
      <c r="O14" s="6"/>
      <c r="P14" s="6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2"/>
      <c r="B15" s="23"/>
      <c r="C15" s="49" t="s">
        <v>25</v>
      </c>
      <c r="D15" s="17">
        <v>68800.0</v>
      </c>
      <c r="E15" s="18">
        <f t="shared" si="16"/>
        <v>3127.272727</v>
      </c>
      <c r="F15" s="19">
        <f t="shared" si="17"/>
        <v>1250.909091</v>
      </c>
      <c r="G15" s="53"/>
      <c r="H15" s="20">
        <f t="shared" ref="H15:I15" si="20">SUM(D15/$L$1)</f>
        <v>573.3333333</v>
      </c>
      <c r="I15" s="20">
        <f t="shared" si="20"/>
        <v>26.06060606</v>
      </c>
      <c r="J15" s="21">
        <f t="shared" si="19"/>
        <v>10.42424242</v>
      </c>
      <c r="K15" s="6"/>
      <c r="L15" s="6"/>
      <c r="M15" s="6"/>
      <c r="N15" s="6"/>
      <c r="O15" s="6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2"/>
      <c r="B16" s="23"/>
      <c r="C16" s="54"/>
      <c r="D16" s="36"/>
      <c r="E16" s="37"/>
      <c r="F16" s="38"/>
      <c r="G16" s="36"/>
      <c r="H16" s="39"/>
      <c r="I16" s="39"/>
      <c r="J16" s="40"/>
      <c r="K16" s="6"/>
      <c r="L16" s="6"/>
      <c r="M16" s="6"/>
      <c r="N16" s="6"/>
      <c r="O16" s="6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2"/>
      <c r="B17" s="23"/>
      <c r="C17" s="49" t="s">
        <v>26</v>
      </c>
      <c r="D17" s="17">
        <v>116800.0</v>
      </c>
      <c r="E17" s="18">
        <f t="shared" ref="E17:E19" si="22">SUM(D17/22)</f>
        <v>5309.090909</v>
      </c>
      <c r="F17" s="19">
        <f t="shared" ref="F17:F19" si="23">(E17/8)+((E17/8)*220%)</f>
        <v>2123.636364</v>
      </c>
      <c r="G17" s="17" t="s">
        <v>8</v>
      </c>
      <c r="H17" s="20">
        <f t="shared" ref="H17:I17" si="21">SUM(D17/$L$1)</f>
        <v>973.3333333</v>
      </c>
      <c r="I17" s="20">
        <f t="shared" si="21"/>
        <v>44.24242424</v>
      </c>
      <c r="J17" s="21">
        <f t="shared" ref="J17:J19" si="25">(I17/8)+((I17/8)*220%)</f>
        <v>17.6969697</v>
      </c>
      <c r="K17" s="6"/>
      <c r="L17" s="6"/>
      <c r="M17" s="6"/>
      <c r="N17" s="6"/>
      <c r="O17" s="6"/>
      <c r="P17" s="6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2"/>
      <c r="B18" s="23"/>
      <c r="C18" s="49" t="s">
        <v>27</v>
      </c>
      <c r="D18" s="17">
        <v>91200.0</v>
      </c>
      <c r="E18" s="18">
        <f t="shared" si="22"/>
        <v>4145.454545</v>
      </c>
      <c r="F18" s="19">
        <f t="shared" si="23"/>
        <v>1658.181818</v>
      </c>
      <c r="G18" s="53"/>
      <c r="H18" s="20">
        <f t="shared" ref="H18:I18" si="24">SUM(D18/$L$1)</f>
        <v>760</v>
      </c>
      <c r="I18" s="20">
        <f t="shared" si="24"/>
        <v>34.54545455</v>
      </c>
      <c r="J18" s="21">
        <f t="shared" si="25"/>
        <v>13.81818182</v>
      </c>
      <c r="K18" s="6"/>
      <c r="L18" s="6"/>
      <c r="M18" s="6"/>
      <c r="N18" s="6"/>
      <c r="O18" s="6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2"/>
      <c r="B19" s="23"/>
      <c r="C19" s="49" t="s">
        <v>28</v>
      </c>
      <c r="D19" s="17">
        <v>68800.0</v>
      </c>
      <c r="E19" s="18">
        <f t="shared" si="22"/>
        <v>3127.272727</v>
      </c>
      <c r="F19" s="19">
        <f t="shared" si="23"/>
        <v>1250.909091</v>
      </c>
      <c r="G19" s="53"/>
      <c r="H19" s="20">
        <f t="shared" ref="H19:I19" si="26">SUM(D19/$L$1)</f>
        <v>573.3333333</v>
      </c>
      <c r="I19" s="20">
        <f t="shared" si="26"/>
        <v>26.06060606</v>
      </c>
      <c r="J19" s="21">
        <f t="shared" si="25"/>
        <v>10.42424242</v>
      </c>
      <c r="K19" s="6"/>
      <c r="L19" s="6"/>
      <c r="M19" s="6"/>
      <c r="N19" s="6"/>
      <c r="O19" s="6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2"/>
      <c r="B20" s="23"/>
      <c r="C20" s="54"/>
      <c r="D20" s="36"/>
      <c r="E20" s="37"/>
      <c r="F20" s="38"/>
      <c r="G20" s="36"/>
      <c r="H20" s="39"/>
      <c r="I20" s="39"/>
      <c r="J20" s="40"/>
      <c r="K20" s="6"/>
      <c r="L20" s="6"/>
      <c r="M20" s="6"/>
      <c r="N20" s="6"/>
      <c r="O20" s="6"/>
      <c r="P20" s="6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2"/>
      <c r="B21" s="23"/>
      <c r="C21" s="49" t="s">
        <v>29</v>
      </c>
      <c r="D21" s="17">
        <v>114000.0</v>
      </c>
      <c r="E21" s="18">
        <f t="shared" ref="E21:E23" si="28">SUM(D21/22)</f>
        <v>5181.818182</v>
      </c>
      <c r="F21" s="19">
        <f t="shared" ref="F21:F23" si="29">(E21/8)+((E21/8)*220%)</f>
        <v>2072.727273</v>
      </c>
      <c r="G21" s="17" t="s">
        <v>8</v>
      </c>
      <c r="H21" s="20">
        <f t="shared" ref="H21:I21" si="27">SUM(D21/$L$1)</f>
        <v>950</v>
      </c>
      <c r="I21" s="20">
        <f t="shared" si="27"/>
        <v>43.18181818</v>
      </c>
      <c r="J21" s="21">
        <f t="shared" ref="J21:J23" si="31">(I21/8)+((I21/8)*220%)</f>
        <v>17.27272727</v>
      </c>
      <c r="K21" s="6"/>
      <c r="L21" s="6"/>
      <c r="M21" s="6"/>
      <c r="N21" s="6"/>
      <c r="O21" s="6"/>
      <c r="P21" s="6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2"/>
      <c r="B22" s="23"/>
      <c r="C22" s="49" t="s">
        <v>30</v>
      </c>
      <c r="D22" s="17">
        <v>93000.0</v>
      </c>
      <c r="E22" s="18">
        <f t="shared" si="28"/>
        <v>4227.272727</v>
      </c>
      <c r="F22" s="19">
        <f t="shared" si="29"/>
        <v>1690.909091</v>
      </c>
      <c r="G22" s="53"/>
      <c r="H22" s="20">
        <f t="shared" ref="H22:I22" si="30">SUM(D22/$L$1)</f>
        <v>775</v>
      </c>
      <c r="I22" s="20">
        <f t="shared" si="30"/>
        <v>35.22727273</v>
      </c>
      <c r="J22" s="21">
        <f t="shared" si="31"/>
        <v>14.09090909</v>
      </c>
      <c r="K22" s="6"/>
      <c r="L22" s="6"/>
      <c r="M22" s="6"/>
      <c r="N22" s="6"/>
      <c r="O22" s="6"/>
      <c r="P22" s="6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5"/>
      <c r="B23" s="26"/>
      <c r="C23" s="49" t="s">
        <v>31</v>
      </c>
      <c r="D23" s="17">
        <v>70000.0</v>
      </c>
      <c r="E23" s="18">
        <f t="shared" si="28"/>
        <v>3181.818182</v>
      </c>
      <c r="F23" s="19">
        <f t="shared" si="29"/>
        <v>1272.727273</v>
      </c>
      <c r="G23" s="53"/>
      <c r="H23" s="20">
        <f t="shared" ref="H23:I23" si="32">SUM(D23/$L$1)</f>
        <v>583.3333333</v>
      </c>
      <c r="I23" s="20">
        <f t="shared" si="32"/>
        <v>26.51515152</v>
      </c>
      <c r="J23" s="21">
        <f t="shared" si="31"/>
        <v>10.60606061</v>
      </c>
      <c r="K23" s="6"/>
      <c r="L23" s="6"/>
      <c r="M23" s="6"/>
      <c r="N23" s="6"/>
      <c r="O23" s="6"/>
      <c r="P23" s="6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3"/>
      <c r="B24" s="34"/>
      <c r="C24" s="35"/>
      <c r="D24" s="36"/>
      <c r="E24" s="37"/>
      <c r="F24" s="38"/>
      <c r="G24" s="36"/>
      <c r="H24" s="39"/>
      <c r="I24" s="39"/>
      <c r="J24" s="40"/>
      <c r="K24" s="6"/>
      <c r="L24" s="6"/>
      <c r="M24" s="6"/>
      <c r="N24" s="6"/>
      <c r="O24" s="6"/>
      <c r="P24" s="6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>
        <v>4.0</v>
      </c>
      <c r="B25" s="15" t="s">
        <v>32</v>
      </c>
      <c r="C25" s="49" t="s">
        <v>33</v>
      </c>
      <c r="D25" s="17">
        <v>139500.0</v>
      </c>
      <c r="E25" s="18">
        <f>SUM(D25/22)</f>
        <v>6340.909091</v>
      </c>
      <c r="F25" s="19">
        <f>(E25/8)+((E25/8)*220%)</f>
        <v>2536.363636</v>
      </c>
      <c r="G25" s="17" t="s">
        <v>8</v>
      </c>
      <c r="H25" s="20">
        <f t="shared" ref="H25:I25" si="33">SUM(D25/$L$1)</f>
        <v>1162.5</v>
      </c>
      <c r="I25" s="20">
        <f t="shared" si="33"/>
        <v>52.84090909</v>
      </c>
      <c r="J25" s="21">
        <f>(I25/8)+((I25/8)*220%)</f>
        <v>21.13636364</v>
      </c>
      <c r="K25" s="6"/>
      <c r="L25" s="6"/>
      <c r="M25" s="6"/>
      <c r="N25" s="6"/>
      <c r="O25" s="6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2"/>
      <c r="B26" s="23"/>
      <c r="C26" s="54"/>
      <c r="D26" s="36"/>
      <c r="E26" s="37"/>
      <c r="F26" s="38"/>
      <c r="G26" s="36"/>
      <c r="H26" s="39"/>
      <c r="I26" s="39"/>
      <c r="J26" s="40"/>
      <c r="K26" s="6"/>
      <c r="L26" s="6"/>
      <c r="M26" s="6"/>
      <c r="N26" s="6"/>
      <c r="O26" s="6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2"/>
      <c r="B27" s="23"/>
      <c r="C27" s="43" t="s">
        <v>34</v>
      </c>
      <c r="D27" s="17">
        <v>114000.0</v>
      </c>
      <c r="E27" s="18">
        <f t="shared" ref="E27:E28" si="35">SUM(D27/22)</f>
        <v>5181.818182</v>
      </c>
      <c r="F27" s="19">
        <f t="shared" ref="F27:F28" si="36">(E27/8)+((E27/8)*220%)</f>
        <v>2072.727273</v>
      </c>
      <c r="G27" s="17" t="s">
        <v>8</v>
      </c>
      <c r="H27" s="20">
        <f t="shared" ref="H27:I27" si="34">SUM(D27/$L$1)</f>
        <v>950</v>
      </c>
      <c r="I27" s="20">
        <f t="shared" si="34"/>
        <v>43.18181818</v>
      </c>
      <c r="J27" s="21">
        <f t="shared" ref="J27:J28" si="38">(I27/8)+((I27/8)*220%)</f>
        <v>17.27272727</v>
      </c>
      <c r="K27" s="6"/>
      <c r="L27" s="6"/>
      <c r="M27" s="6"/>
      <c r="N27" s="6"/>
      <c r="O27" s="6"/>
      <c r="P27" s="6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2"/>
      <c r="B28" s="23"/>
      <c r="C28" s="43" t="s">
        <v>35</v>
      </c>
      <c r="D28" s="17">
        <v>89000.0</v>
      </c>
      <c r="E28" s="18">
        <f t="shared" si="35"/>
        <v>4045.454545</v>
      </c>
      <c r="F28" s="19">
        <f t="shared" si="36"/>
        <v>1618.181818</v>
      </c>
      <c r="G28" s="53"/>
      <c r="H28" s="20">
        <f t="shared" ref="H28:I28" si="37">SUM(D28/$L$1)</f>
        <v>741.6666667</v>
      </c>
      <c r="I28" s="20">
        <f t="shared" si="37"/>
        <v>33.71212121</v>
      </c>
      <c r="J28" s="21">
        <f t="shared" si="38"/>
        <v>13.48484848</v>
      </c>
      <c r="K28" s="6"/>
      <c r="L28" s="6"/>
      <c r="M28" s="6"/>
      <c r="N28" s="6"/>
      <c r="O28" s="6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2"/>
      <c r="B29" s="23"/>
      <c r="C29" s="54"/>
      <c r="D29" s="36"/>
      <c r="E29" s="37"/>
      <c r="F29" s="38"/>
      <c r="G29" s="36"/>
      <c r="H29" s="39"/>
      <c r="I29" s="39"/>
      <c r="J29" s="40"/>
      <c r="K29" s="6"/>
      <c r="L29" s="6"/>
      <c r="M29" s="6"/>
      <c r="N29" s="6"/>
      <c r="O29" s="6"/>
      <c r="P29" s="6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2"/>
      <c r="B30" s="23"/>
      <c r="C30" s="43" t="s">
        <v>36</v>
      </c>
      <c r="D30" s="17">
        <v>180000.0</v>
      </c>
      <c r="E30" s="18">
        <f>SUM(D30/22)</f>
        <v>8181.818182</v>
      </c>
      <c r="F30" s="19">
        <f>(E30/8)+((E30/8)*220%)</f>
        <v>3272.727273</v>
      </c>
      <c r="G30" s="17" t="s">
        <v>8</v>
      </c>
      <c r="H30" s="20">
        <f t="shared" ref="H30:I30" si="39">SUM(D30/$L$1)</f>
        <v>1500</v>
      </c>
      <c r="I30" s="20">
        <f t="shared" si="39"/>
        <v>68.18181818</v>
      </c>
      <c r="J30" s="21">
        <f>(I30/8)+((I30/8)*220%)</f>
        <v>27.27272727</v>
      </c>
      <c r="K30" s="6"/>
      <c r="L30" s="6"/>
      <c r="M30" s="6"/>
      <c r="N30" s="6"/>
      <c r="O30" s="6"/>
      <c r="P30" s="6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2"/>
      <c r="B31" s="23"/>
      <c r="C31" s="54"/>
      <c r="D31" s="36"/>
      <c r="E31" s="37"/>
      <c r="F31" s="38"/>
      <c r="G31" s="36"/>
      <c r="H31" s="39"/>
      <c r="I31" s="39"/>
      <c r="J31" s="40"/>
      <c r="K31" s="6"/>
      <c r="L31" s="6"/>
      <c r="M31" s="6"/>
      <c r="N31" s="6"/>
      <c r="O31" s="6"/>
      <c r="P31" s="6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2"/>
      <c r="B32" s="23"/>
      <c r="C32" s="43" t="s">
        <v>37</v>
      </c>
      <c r="D32" s="17">
        <v>114000.0</v>
      </c>
      <c r="E32" s="18">
        <f t="shared" ref="E32:E33" si="41">SUM(D32/22)</f>
        <v>5181.818182</v>
      </c>
      <c r="F32" s="19">
        <f t="shared" ref="F32:F33" si="42">(E32/8)+((E32/8)*220%)</f>
        <v>2072.727273</v>
      </c>
      <c r="G32" s="17" t="s">
        <v>8</v>
      </c>
      <c r="H32" s="20">
        <f t="shared" ref="H32:I32" si="40">SUM(D32/$L$1)</f>
        <v>950</v>
      </c>
      <c r="I32" s="20">
        <f t="shared" si="40"/>
        <v>43.18181818</v>
      </c>
      <c r="J32" s="21">
        <f t="shared" ref="J32:J33" si="44">(I32/8)+((I32/8)*220%)</f>
        <v>17.27272727</v>
      </c>
      <c r="K32" s="6"/>
      <c r="L32" s="6"/>
      <c r="M32" s="6"/>
      <c r="N32" s="6"/>
      <c r="O32" s="6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2"/>
      <c r="B33" s="23"/>
      <c r="C33" s="43" t="s">
        <v>38</v>
      </c>
      <c r="D33" s="17">
        <v>95500.0</v>
      </c>
      <c r="E33" s="18">
        <f t="shared" si="41"/>
        <v>4340.909091</v>
      </c>
      <c r="F33" s="19">
        <f t="shared" si="42"/>
        <v>1736.363636</v>
      </c>
      <c r="G33" s="53"/>
      <c r="H33" s="20">
        <f t="shared" ref="H33:I33" si="43">SUM(D33/$L$1)</f>
        <v>795.8333333</v>
      </c>
      <c r="I33" s="20">
        <f t="shared" si="43"/>
        <v>36.17424242</v>
      </c>
      <c r="J33" s="21">
        <f t="shared" si="44"/>
        <v>14.46969697</v>
      </c>
      <c r="K33" s="6"/>
      <c r="L33" s="6"/>
      <c r="M33" s="6"/>
      <c r="N33" s="6"/>
      <c r="O33" s="6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2"/>
      <c r="B34" s="23"/>
      <c r="C34" s="54"/>
      <c r="D34" s="36"/>
      <c r="E34" s="37"/>
      <c r="F34" s="38"/>
      <c r="G34" s="36"/>
      <c r="H34" s="39"/>
      <c r="I34" s="39"/>
      <c r="J34" s="40"/>
      <c r="K34" s="6"/>
      <c r="L34" s="6"/>
      <c r="M34" s="6"/>
      <c r="N34" s="6"/>
      <c r="O34" s="6"/>
      <c r="P34" s="6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2"/>
      <c r="B35" s="23"/>
      <c r="C35" s="43" t="s">
        <v>39</v>
      </c>
      <c r="D35" s="17">
        <v>104000.0</v>
      </c>
      <c r="E35" s="18">
        <f t="shared" ref="E35:E36" si="46">SUM(D35/22)</f>
        <v>4727.272727</v>
      </c>
      <c r="F35" s="19">
        <f t="shared" ref="F35:F36" si="47">(E35/8)+((E35/8)*220%)</f>
        <v>1890.909091</v>
      </c>
      <c r="G35" s="17" t="s">
        <v>8</v>
      </c>
      <c r="H35" s="20">
        <f t="shared" ref="H35:I35" si="45">SUM(D35/$L$1)</f>
        <v>866.6666667</v>
      </c>
      <c r="I35" s="20">
        <f t="shared" si="45"/>
        <v>39.39393939</v>
      </c>
      <c r="J35" s="21">
        <f t="shared" ref="J35:J36" si="49">(I35/8)+((I35/8)*220%)</f>
        <v>15.75757576</v>
      </c>
      <c r="K35" s="6"/>
      <c r="L35" s="6"/>
      <c r="M35" s="6"/>
      <c r="N35" s="6"/>
      <c r="O35" s="6"/>
      <c r="P35" s="6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2"/>
      <c r="B36" s="23"/>
      <c r="C36" s="43" t="s">
        <v>40</v>
      </c>
      <c r="D36" s="17">
        <v>95500.0</v>
      </c>
      <c r="E36" s="18">
        <f t="shared" si="46"/>
        <v>4340.909091</v>
      </c>
      <c r="F36" s="19">
        <f t="shared" si="47"/>
        <v>1736.363636</v>
      </c>
      <c r="G36" s="53"/>
      <c r="H36" s="20">
        <f t="shared" ref="H36:I36" si="48">SUM(D36/$L$1)</f>
        <v>795.8333333</v>
      </c>
      <c r="I36" s="20">
        <f t="shared" si="48"/>
        <v>36.17424242</v>
      </c>
      <c r="J36" s="21">
        <f t="shared" si="49"/>
        <v>14.46969697</v>
      </c>
      <c r="K36" s="6"/>
      <c r="L36" s="6"/>
      <c r="M36" s="6"/>
      <c r="N36" s="6"/>
      <c r="O36" s="6"/>
      <c r="P36" s="6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2"/>
      <c r="B37" s="23"/>
      <c r="C37" s="54"/>
      <c r="D37" s="36"/>
      <c r="E37" s="37"/>
      <c r="F37" s="38"/>
      <c r="G37" s="36"/>
      <c r="H37" s="39"/>
      <c r="I37" s="39"/>
      <c r="J37" s="40"/>
      <c r="K37" s="6"/>
      <c r="L37" s="6"/>
      <c r="M37" s="6"/>
      <c r="N37" s="6"/>
      <c r="O37" s="6"/>
      <c r="P37" s="6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2"/>
      <c r="B38" s="23"/>
      <c r="C38" s="43" t="s">
        <v>41</v>
      </c>
      <c r="D38" s="17">
        <v>132000.0</v>
      </c>
      <c r="E38" s="18">
        <f t="shared" ref="E38:E39" si="51">SUM(D38/22)</f>
        <v>6000</v>
      </c>
      <c r="F38" s="19">
        <f t="shared" ref="F38:F39" si="52">(E38/8)+((E38/8)*220%)</f>
        <v>2400</v>
      </c>
      <c r="G38" s="17" t="s">
        <v>8</v>
      </c>
      <c r="H38" s="20">
        <f t="shared" ref="H38:I38" si="50">SUM(D38/$L$1)</f>
        <v>1100</v>
      </c>
      <c r="I38" s="20">
        <f t="shared" si="50"/>
        <v>50</v>
      </c>
      <c r="J38" s="21">
        <f t="shared" ref="J38:J39" si="54">(I38/8)+((I38/8)*220%)</f>
        <v>20</v>
      </c>
      <c r="K38" s="6"/>
      <c r="L38" s="6"/>
      <c r="M38" s="6"/>
      <c r="N38" s="6"/>
      <c r="O38" s="6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2"/>
      <c r="B39" s="23"/>
      <c r="C39" s="43" t="s">
        <v>42</v>
      </c>
      <c r="D39" s="17">
        <v>95500.0</v>
      </c>
      <c r="E39" s="18">
        <f t="shared" si="51"/>
        <v>4340.909091</v>
      </c>
      <c r="F39" s="19">
        <f t="shared" si="52"/>
        <v>1736.363636</v>
      </c>
      <c r="G39" s="53"/>
      <c r="H39" s="20">
        <f t="shared" ref="H39:I39" si="53">SUM(D39/$L$1)</f>
        <v>795.8333333</v>
      </c>
      <c r="I39" s="20">
        <f t="shared" si="53"/>
        <v>36.17424242</v>
      </c>
      <c r="J39" s="21">
        <f t="shared" si="54"/>
        <v>14.46969697</v>
      </c>
      <c r="K39" s="6"/>
      <c r="L39" s="6"/>
      <c r="M39" s="6"/>
      <c r="N39" s="6"/>
      <c r="O39" s="6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2"/>
      <c r="B40" s="23"/>
      <c r="C40" s="54"/>
      <c r="D40" s="36"/>
      <c r="E40" s="37"/>
      <c r="F40" s="38"/>
      <c r="G40" s="36"/>
      <c r="H40" s="39"/>
      <c r="I40" s="39"/>
      <c r="J40" s="40"/>
      <c r="K40" s="6"/>
      <c r="L40" s="6"/>
      <c r="M40" s="6"/>
      <c r="N40" s="6"/>
      <c r="O40" s="6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2"/>
      <c r="B41" s="23"/>
      <c r="C41" s="43" t="s">
        <v>43</v>
      </c>
      <c r="D41" s="17">
        <v>114000.0</v>
      </c>
      <c r="E41" s="18">
        <f t="shared" ref="E41:E42" si="56">SUM(D41/22)</f>
        <v>5181.818182</v>
      </c>
      <c r="F41" s="19">
        <f t="shared" ref="F41:F42" si="57">(E41/8)+((E41/8)*220%)</f>
        <v>2072.727273</v>
      </c>
      <c r="G41" s="17" t="s">
        <v>8</v>
      </c>
      <c r="H41" s="20">
        <f t="shared" ref="H41:I41" si="55">SUM(D41/$L$1)</f>
        <v>950</v>
      </c>
      <c r="I41" s="20">
        <f t="shared" si="55"/>
        <v>43.18181818</v>
      </c>
      <c r="J41" s="21">
        <f t="shared" ref="J41:J42" si="59">(I41/8)+((I41/8)*220%)</f>
        <v>17.27272727</v>
      </c>
      <c r="K41" s="6"/>
      <c r="L41" s="6"/>
      <c r="M41" s="6"/>
      <c r="N41" s="6"/>
      <c r="O41" s="6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5"/>
      <c r="B42" s="26"/>
      <c r="C42" s="43" t="s">
        <v>44</v>
      </c>
      <c r="D42" s="17">
        <v>95500.0</v>
      </c>
      <c r="E42" s="18">
        <f t="shared" si="56"/>
        <v>4340.909091</v>
      </c>
      <c r="F42" s="19">
        <f t="shared" si="57"/>
        <v>1736.363636</v>
      </c>
      <c r="G42" s="53"/>
      <c r="H42" s="20">
        <f t="shared" ref="H42:I42" si="58">SUM(D42/$L$1)</f>
        <v>795.8333333</v>
      </c>
      <c r="I42" s="20">
        <f t="shared" si="58"/>
        <v>36.17424242</v>
      </c>
      <c r="J42" s="21">
        <f t="shared" si="59"/>
        <v>14.46969697</v>
      </c>
      <c r="K42" s="6"/>
      <c r="L42" s="6"/>
      <c r="M42" s="6"/>
      <c r="N42" s="6"/>
      <c r="O42" s="6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33"/>
      <c r="B43" s="34"/>
      <c r="C43" s="35"/>
      <c r="D43" s="36"/>
      <c r="E43" s="37"/>
      <c r="F43" s="38"/>
      <c r="G43" s="36"/>
      <c r="H43" s="39"/>
      <c r="I43" s="39"/>
      <c r="J43" s="40"/>
      <c r="K43" s="6"/>
      <c r="L43" s="6"/>
      <c r="M43" s="6"/>
      <c r="N43" s="6"/>
      <c r="O43" s="6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4">
        <v>5.0</v>
      </c>
      <c r="B44" s="15" t="s">
        <v>45</v>
      </c>
      <c r="C44" s="49" t="s">
        <v>46</v>
      </c>
      <c r="D44" s="17">
        <v>145000.0</v>
      </c>
      <c r="E44" s="18">
        <f t="shared" ref="E44:E45" si="61">SUM(D44/22)</f>
        <v>6590.909091</v>
      </c>
      <c r="F44" s="19">
        <f t="shared" ref="F44:F45" si="62">(E44/8)+((E44/8)*220%)</f>
        <v>2636.363636</v>
      </c>
      <c r="G44" s="17" t="s">
        <v>8</v>
      </c>
      <c r="H44" s="20">
        <f t="shared" ref="H44:I44" si="60">SUM(D44/$L$1)</f>
        <v>1208.333333</v>
      </c>
      <c r="I44" s="20">
        <f t="shared" si="60"/>
        <v>54.92424242</v>
      </c>
      <c r="J44" s="21">
        <f t="shared" ref="J44:J45" si="64">(I44/8)+((I44/8)*220%)</f>
        <v>21.96969697</v>
      </c>
      <c r="K44" s="6"/>
      <c r="L44" s="6"/>
      <c r="M44" s="6"/>
      <c r="N44" s="6"/>
      <c r="O44" s="6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2"/>
      <c r="B45" s="23"/>
      <c r="C45" s="49" t="s">
        <v>47</v>
      </c>
      <c r="D45" s="17">
        <v>108000.0</v>
      </c>
      <c r="E45" s="18">
        <f t="shared" si="61"/>
        <v>4909.090909</v>
      </c>
      <c r="F45" s="19">
        <f t="shared" si="62"/>
        <v>1963.636364</v>
      </c>
      <c r="G45" s="53"/>
      <c r="H45" s="20">
        <f t="shared" ref="H45:I45" si="63">SUM(D45/$L$1)</f>
        <v>900</v>
      </c>
      <c r="I45" s="20">
        <f t="shared" si="63"/>
        <v>40.90909091</v>
      </c>
      <c r="J45" s="21">
        <f t="shared" si="64"/>
        <v>16.36363636</v>
      </c>
      <c r="K45" s="6"/>
      <c r="L45" s="6"/>
      <c r="M45" s="6"/>
      <c r="N45" s="6"/>
      <c r="O45" s="6"/>
      <c r="P45" s="6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22"/>
      <c r="B46" s="23"/>
      <c r="C46" s="54"/>
      <c r="D46" s="36"/>
      <c r="E46" s="37"/>
      <c r="F46" s="38"/>
      <c r="G46" s="36"/>
      <c r="H46" s="39"/>
      <c r="I46" s="39"/>
      <c r="J46" s="40"/>
      <c r="K46" s="6"/>
      <c r="L46" s="6"/>
      <c r="M46" s="6"/>
      <c r="N46" s="6"/>
      <c r="O46" s="6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2"/>
      <c r="B47" s="23"/>
      <c r="C47" s="49" t="s">
        <v>48</v>
      </c>
      <c r="D47" s="17">
        <v>144000.0</v>
      </c>
      <c r="E47" s="18">
        <f t="shared" ref="E47:E48" si="66">SUM(D47/22)</f>
        <v>6545.454545</v>
      </c>
      <c r="F47" s="19">
        <f t="shared" ref="F47:F48" si="67">(E47/8)+((E47/8)*220%)</f>
        <v>2618.181818</v>
      </c>
      <c r="G47" s="17" t="s">
        <v>8</v>
      </c>
      <c r="H47" s="20">
        <f t="shared" ref="H47:I47" si="65">SUM(D47/$L$1)</f>
        <v>1200</v>
      </c>
      <c r="I47" s="20">
        <f t="shared" si="65"/>
        <v>54.54545455</v>
      </c>
      <c r="J47" s="21">
        <f t="shared" ref="J47:J48" si="69">(I47/8)+((I47/8)*220%)</f>
        <v>21.81818182</v>
      </c>
      <c r="K47" s="6"/>
      <c r="L47" s="6"/>
      <c r="M47" s="6"/>
      <c r="N47" s="6"/>
      <c r="O47" s="6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2"/>
      <c r="B48" s="23"/>
      <c r="C48" s="43" t="s">
        <v>49</v>
      </c>
      <c r="D48" s="17">
        <v>108000.0</v>
      </c>
      <c r="E48" s="18">
        <f t="shared" si="66"/>
        <v>4909.090909</v>
      </c>
      <c r="F48" s="19">
        <f t="shared" si="67"/>
        <v>1963.636364</v>
      </c>
      <c r="G48" s="53"/>
      <c r="H48" s="20">
        <f t="shared" ref="H48:I48" si="68">SUM(D48/$L$1)</f>
        <v>900</v>
      </c>
      <c r="I48" s="20">
        <f t="shared" si="68"/>
        <v>40.90909091</v>
      </c>
      <c r="J48" s="21">
        <f t="shared" si="69"/>
        <v>16.36363636</v>
      </c>
      <c r="K48" s="6"/>
      <c r="L48" s="6"/>
      <c r="M48" s="6"/>
      <c r="N48" s="6"/>
      <c r="O48" s="6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2"/>
      <c r="B49" s="23"/>
      <c r="C49" s="54"/>
      <c r="D49" s="36"/>
      <c r="E49" s="37"/>
      <c r="F49" s="38"/>
      <c r="G49" s="36"/>
      <c r="H49" s="39"/>
      <c r="I49" s="39"/>
      <c r="J49" s="40"/>
      <c r="K49" s="6"/>
      <c r="L49" s="6"/>
      <c r="M49" s="6"/>
      <c r="N49" s="6"/>
      <c r="O49" s="6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2"/>
      <c r="B50" s="23"/>
      <c r="C50" s="43" t="s">
        <v>50</v>
      </c>
      <c r="D50" s="17">
        <v>130200.0</v>
      </c>
      <c r="E50" s="18">
        <f t="shared" ref="E50:E51" si="71">SUM(D50/22)</f>
        <v>5918.181818</v>
      </c>
      <c r="F50" s="19">
        <f t="shared" ref="F50:F51" si="72">(E50/8)+((E50/8)*220%)</f>
        <v>2367.272727</v>
      </c>
      <c r="G50" s="17" t="s">
        <v>8</v>
      </c>
      <c r="H50" s="20">
        <f t="shared" ref="H50:I50" si="70">SUM(D50/$L$1)</f>
        <v>1085</v>
      </c>
      <c r="I50" s="20">
        <f t="shared" si="70"/>
        <v>49.31818182</v>
      </c>
      <c r="J50" s="21">
        <f t="shared" ref="J50:J51" si="74">(I50/8)+((I50/8)*220%)</f>
        <v>19.72727273</v>
      </c>
      <c r="K50" s="6"/>
      <c r="L50" s="6"/>
      <c r="M50" s="6"/>
      <c r="N50" s="6"/>
      <c r="O50" s="6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2"/>
      <c r="B51" s="23"/>
      <c r="C51" s="43" t="s">
        <v>51</v>
      </c>
      <c r="D51" s="17">
        <v>90000.0</v>
      </c>
      <c r="E51" s="18">
        <f t="shared" si="71"/>
        <v>4090.909091</v>
      </c>
      <c r="F51" s="19">
        <f t="shared" si="72"/>
        <v>1636.363636</v>
      </c>
      <c r="G51" s="53"/>
      <c r="H51" s="20">
        <f t="shared" ref="H51:I51" si="73">SUM(D51/$L$1)</f>
        <v>750</v>
      </c>
      <c r="I51" s="20">
        <f t="shared" si="73"/>
        <v>34.09090909</v>
      </c>
      <c r="J51" s="21">
        <f t="shared" si="74"/>
        <v>13.63636364</v>
      </c>
      <c r="K51" s="6"/>
      <c r="L51" s="6"/>
      <c r="M51" s="6"/>
      <c r="N51" s="6"/>
      <c r="O51" s="6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2"/>
      <c r="B52" s="23"/>
      <c r="C52" s="54"/>
      <c r="D52" s="36"/>
      <c r="E52" s="37"/>
      <c r="F52" s="38"/>
      <c r="G52" s="36"/>
      <c r="H52" s="39"/>
      <c r="I52" s="39"/>
      <c r="J52" s="40"/>
      <c r="K52" s="6"/>
      <c r="L52" s="6"/>
      <c r="M52" s="6"/>
      <c r="N52" s="6"/>
      <c r="O52" s="6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2"/>
      <c r="B53" s="23"/>
      <c r="C53" s="43" t="s">
        <v>52</v>
      </c>
      <c r="D53" s="17">
        <v>254000.0</v>
      </c>
      <c r="E53" s="18">
        <f t="shared" ref="E53:E54" si="76">SUM(D53/22)</f>
        <v>11545.45455</v>
      </c>
      <c r="F53" s="19">
        <f t="shared" ref="F53:F54" si="77">(E53/8)+((E53/8)*220%)</f>
        <v>4618.181818</v>
      </c>
      <c r="G53" s="17" t="s">
        <v>8</v>
      </c>
      <c r="H53" s="20">
        <f t="shared" ref="H53:I53" si="75">SUM(D53/$L$1)</f>
        <v>2116.666667</v>
      </c>
      <c r="I53" s="20">
        <f t="shared" si="75"/>
        <v>96.21212121</v>
      </c>
      <c r="J53" s="21">
        <f t="shared" ref="J53:J54" si="79">(I53/8)+((I53/8)*220%)</f>
        <v>38.48484848</v>
      </c>
      <c r="K53" s="6"/>
      <c r="L53" s="6"/>
      <c r="M53" s="6"/>
      <c r="N53" s="6"/>
      <c r="O53" s="6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2"/>
      <c r="B54" s="23"/>
      <c r="C54" s="43" t="s">
        <v>53</v>
      </c>
      <c r="D54" s="17">
        <v>156000.0</v>
      </c>
      <c r="E54" s="18">
        <f t="shared" si="76"/>
        <v>7090.909091</v>
      </c>
      <c r="F54" s="19">
        <f t="shared" si="77"/>
        <v>2836.363636</v>
      </c>
      <c r="G54" s="53"/>
      <c r="H54" s="20">
        <f t="shared" ref="H54:I54" si="78">SUM(D54/$L$1)</f>
        <v>1300</v>
      </c>
      <c r="I54" s="20">
        <f t="shared" si="78"/>
        <v>59.09090909</v>
      </c>
      <c r="J54" s="21">
        <f t="shared" si="79"/>
        <v>23.63636364</v>
      </c>
      <c r="K54" s="6"/>
      <c r="L54" s="6"/>
      <c r="M54" s="6"/>
      <c r="N54" s="6"/>
      <c r="O54" s="6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2"/>
      <c r="B55" s="23"/>
      <c r="C55" s="54"/>
      <c r="D55" s="36"/>
      <c r="E55" s="37"/>
      <c r="F55" s="38"/>
      <c r="G55" s="36"/>
      <c r="H55" s="39"/>
      <c r="I55" s="39"/>
      <c r="J55" s="40"/>
      <c r="K55" s="6"/>
      <c r="L55" s="6"/>
      <c r="M55" s="6"/>
      <c r="N55" s="6"/>
      <c r="O55" s="6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2"/>
      <c r="B56" s="23"/>
      <c r="C56" s="43" t="s">
        <v>54</v>
      </c>
      <c r="D56" s="17">
        <v>123000.0</v>
      </c>
      <c r="E56" s="18">
        <f t="shared" ref="E56:E57" si="81">SUM(D56/22)</f>
        <v>5590.909091</v>
      </c>
      <c r="F56" s="19">
        <f t="shared" ref="F56:F57" si="82">(E56/8)+((E56/8)*220%)</f>
        <v>2236.363636</v>
      </c>
      <c r="G56" s="17" t="s">
        <v>8</v>
      </c>
      <c r="H56" s="20">
        <f t="shared" ref="H56:I56" si="80">SUM(D56/$L$1)</f>
        <v>1025</v>
      </c>
      <c r="I56" s="20">
        <f t="shared" si="80"/>
        <v>46.59090909</v>
      </c>
      <c r="J56" s="21">
        <f t="shared" ref="J56:J57" si="84">(I56/8)+((I56/8)*220%)</f>
        <v>18.63636364</v>
      </c>
      <c r="K56" s="6"/>
      <c r="L56" s="6"/>
      <c r="M56" s="6"/>
      <c r="N56" s="6"/>
      <c r="O56" s="6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2"/>
      <c r="B57" s="23"/>
      <c r="C57" s="43" t="s">
        <v>55</v>
      </c>
      <c r="D57" s="17">
        <v>90000.0</v>
      </c>
      <c r="E57" s="18">
        <f t="shared" si="81"/>
        <v>4090.909091</v>
      </c>
      <c r="F57" s="19">
        <f t="shared" si="82"/>
        <v>1636.363636</v>
      </c>
      <c r="G57" s="53"/>
      <c r="H57" s="20">
        <f t="shared" ref="H57:I57" si="83">SUM(D57/$L$1)</f>
        <v>750</v>
      </c>
      <c r="I57" s="20">
        <f t="shared" si="83"/>
        <v>34.09090909</v>
      </c>
      <c r="J57" s="21">
        <f t="shared" si="84"/>
        <v>13.63636364</v>
      </c>
      <c r="K57" s="6"/>
      <c r="L57" s="6"/>
      <c r="M57" s="6"/>
      <c r="N57" s="6"/>
      <c r="O57" s="6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2"/>
      <c r="B58" s="23"/>
      <c r="C58" s="54"/>
      <c r="D58" s="36"/>
      <c r="E58" s="37"/>
      <c r="F58" s="38"/>
      <c r="G58" s="36"/>
      <c r="H58" s="39"/>
      <c r="I58" s="39"/>
      <c r="J58" s="40"/>
      <c r="K58" s="6"/>
      <c r="L58" s="6"/>
      <c r="M58" s="6"/>
      <c r="N58" s="6"/>
      <c r="O58" s="6"/>
      <c r="P58" s="6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2"/>
      <c r="B59" s="23"/>
      <c r="C59" s="43" t="s">
        <v>56</v>
      </c>
      <c r="D59" s="17">
        <v>123000.0</v>
      </c>
      <c r="E59" s="18">
        <f t="shared" ref="E59:E60" si="86">SUM(D59/22)</f>
        <v>5590.909091</v>
      </c>
      <c r="F59" s="19">
        <f t="shared" ref="F59:F60" si="87">(E59/8)+((E59/8)*220%)</f>
        <v>2236.363636</v>
      </c>
      <c r="G59" s="17" t="s">
        <v>8</v>
      </c>
      <c r="H59" s="20">
        <f t="shared" ref="H59:I59" si="85">SUM(D59/$L$1)</f>
        <v>1025</v>
      </c>
      <c r="I59" s="20">
        <f t="shared" si="85"/>
        <v>46.59090909</v>
      </c>
      <c r="J59" s="21">
        <f t="shared" ref="J59:J60" si="89">(I59/8)+((I59/8)*220%)</f>
        <v>18.63636364</v>
      </c>
      <c r="K59" s="6"/>
      <c r="L59" s="6"/>
      <c r="M59" s="6"/>
      <c r="N59" s="6"/>
      <c r="O59" s="6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5"/>
      <c r="B60" s="26"/>
      <c r="C60" s="43" t="s">
        <v>57</v>
      </c>
      <c r="D60" s="17">
        <v>94000.0</v>
      </c>
      <c r="E60" s="18">
        <f t="shared" si="86"/>
        <v>4272.727273</v>
      </c>
      <c r="F60" s="19">
        <f t="shared" si="87"/>
        <v>1709.090909</v>
      </c>
      <c r="G60" s="53"/>
      <c r="H60" s="20">
        <f t="shared" ref="H60:I60" si="88">SUM(D60/$L$1)</f>
        <v>783.3333333</v>
      </c>
      <c r="I60" s="20">
        <f t="shared" si="88"/>
        <v>35.60606061</v>
      </c>
      <c r="J60" s="21">
        <f t="shared" si="89"/>
        <v>14.24242424</v>
      </c>
      <c r="K60" s="6"/>
      <c r="L60" s="6"/>
      <c r="M60" s="6"/>
      <c r="N60" s="6"/>
      <c r="O60" s="6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33"/>
      <c r="B61" s="34"/>
      <c r="C61" s="35"/>
      <c r="D61" s="36"/>
      <c r="E61" s="37"/>
      <c r="F61" s="38"/>
      <c r="G61" s="36"/>
      <c r="H61" s="39"/>
      <c r="I61" s="39"/>
      <c r="J61" s="40"/>
      <c r="K61" s="6"/>
      <c r="L61" s="6"/>
      <c r="M61" s="6"/>
      <c r="N61" s="6"/>
      <c r="O61" s="6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4">
        <v>6.0</v>
      </c>
      <c r="B62" s="15" t="s">
        <v>58</v>
      </c>
      <c r="C62" s="49" t="s">
        <v>59</v>
      </c>
      <c r="D62" s="17">
        <v>134000.0</v>
      </c>
      <c r="E62" s="18">
        <f>SUM(D62/22)</f>
        <v>6090.909091</v>
      </c>
      <c r="F62" s="19">
        <f>(E62/8)+((E62/8)*220%)</f>
        <v>2436.363636</v>
      </c>
      <c r="G62" s="53"/>
      <c r="H62" s="20">
        <f t="shared" ref="H62:I62" si="90">SUM(D62/$L$1)</f>
        <v>1116.666667</v>
      </c>
      <c r="I62" s="20">
        <f t="shared" si="90"/>
        <v>50.75757576</v>
      </c>
      <c r="J62" s="21">
        <f>(I62/8)+((I62/8)*220%)</f>
        <v>20.3030303</v>
      </c>
      <c r="K62" s="6"/>
      <c r="L62" s="6"/>
      <c r="M62" s="6"/>
      <c r="N62" s="6"/>
      <c r="O62" s="6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2"/>
      <c r="B63" s="23"/>
      <c r="C63" s="54"/>
      <c r="D63" s="36"/>
      <c r="E63" s="37"/>
      <c r="F63" s="38"/>
      <c r="G63" s="36"/>
      <c r="H63" s="39"/>
      <c r="I63" s="39"/>
      <c r="J63" s="40"/>
      <c r="K63" s="6"/>
      <c r="L63" s="6"/>
      <c r="M63" s="6"/>
      <c r="N63" s="6"/>
      <c r="O63" s="6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2"/>
      <c r="B64" s="23"/>
      <c r="C64" s="43" t="s">
        <v>60</v>
      </c>
      <c r="D64" s="17">
        <v>128500.0</v>
      </c>
      <c r="E64" s="18">
        <f t="shared" ref="E64:E65" si="92">SUM(D64/22)</f>
        <v>5840.909091</v>
      </c>
      <c r="F64" s="19">
        <f t="shared" ref="F64:F65" si="93">(E64/8)+((E64/8)*220%)</f>
        <v>2336.363636</v>
      </c>
      <c r="G64" s="53"/>
      <c r="H64" s="20">
        <f t="shared" ref="H64:I64" si="91">SUM(D64/$L$1)</f>
        <v>1070.833333</v>
      </c>
      <c r="I64" s="20">
        <f t="shared" si="91"/>
        <v>48.67424242</v>
      </c>
      <c r="J64" s="21">
        <f t="shared" ref="J64:J65" si="95">(I64/8)+((I64/8)*220%)</f>
        <v>19.46969697</v>
      </c>
      <c r="K64" s="6"/>
      <c r="L64" s="6"/>
      <c r="M64" s="6"/>
      <c r="N64" s="6"/>
      <c r="O64" s="6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2"/>
      <c r="B65" s="23"/>
      <c r="C65" s="43" t="s">
        <v>61</v>
      </c>
      <c r="D65" s="17">
        <v>95500.0</v>
      </c>
      <c r="E65" s="18">
        <f t="shared" si="92"/>
        <v>4340.909091</v>
      </c>
      <c r="F65" s="19">
        <f t="shared" si="93"/>
        <v>1736.363636</v>
      </c>
      <c r="G65" s="53"/>
      <c r="H65" s="20">
        <f t="shared" ref="H65:I65" si="94">SUM(D65/$L$1)</f>
        <v>795.8333333</v>
      </c>
      <c r="I65" s="20">
        <f t="shared" si="94"/>
        <v>36.17424242</v>
      </c>
      <c r="J65" s="21">
        <f t="shared" si="95"/>
        <v>14.46969697</v>
      </c>
      <c r="K65" s="6"/>
      <c r="L65" s="6"/>
      <c r="M65" s="6"/>
      <c r="N65" s="6"/>
      <c r="O65" s="6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2"/>
      <c r="B66" s="23"/>
      <c r="C66" s="54"/>
      <c r="D66" s="36"/>
      <c r="E66" s="37"/>
      <c r="F66" s="38"/>
      <c r="G66" s="36"/>
      <c r="H66" s="39"/>
      <c r="I66" s="39"/>
      <c r="J66" s="40"/>
      <c r="K66" s="6"/>
      <c r="L66" s="6"/>
      <c r="M66" s="6"/>
      <c r="N66" s="6"/>
      <c r="O66" s="6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5"/>
      <c r="B67" s="23"/>
      <c r="C67" s="49" t="s">
        <v>62</v>
      </c>
      <c r="D67" s="17">
        <v>90000.0</v>
      </c>
      <c r="E67" s="18">
        <f>SUM(D67/22)</f>
        <v>4090.909091</v>
      </c>
      <c r="F67" s="19">
        <f>(E67/8)+((E67/8)*220%)</f>
        <v>1636.363636</v>
      </c>
      <c r="G67" s="17" t="s">
        <v>8</v>
      </c>
      <c r="H67" s="20">
        <f t="shared" ref="H67:I67" si="96">SUM(D67/$L$1)</f>
        <v>750</v>
      </c>
      <c r="I67" s="20">
        <f t="shared" si="96"/>
        <v>34.09090909</v>
      </c>
      <c r="J67" s="21">
        <f>(I67/8)+((I67/8)*220%)</f>
        <v>13.63636364</v>
      </c>
      <c r="K67" s="6"/>
      <c r="L67" s="6"/>
      <c r="M67" s="6"/>
      <c r="N67" s="6"/>
      <c r="O67" s="6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33"/>
      <c r="B68" s="34"/>
      <c r="C68" s="35"/>
      <c r="D68" s="36"/>
      <c r="E68" s="37"/>
      <c r="F68" s="38"/>
      <c r="G68" s="36"/>
      <c r="H68" s="39"/>
      <c r="I68" s="39"/>
      <c r="J68" s="40"/>
      <c r="K68" s="6"/>
      <c r="L68" s="6"/>
      <c r="M68" s="6"/>
      <c r="N68" s="6"/>
      <c r="O68" s="6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4">
        <v>7.0</v>
      </c>
      <c r="B69" s="15" t="s">
        <v>63</v>
      </c>
      <c r="C69" s="49" t="s">
        <v>64</v>
      </c>
      <c r="D69" s="17">
        <v>112000.0</v>
      </c>
      <c r="E69" s="18">
        <f>SUM(D69/22)</f>
        <v>5090.909091</v>
      </c>
      <c r="F69" s="19">
        <f>(E69/8)+((E69/8)*220%)</f>
        <v>2036.363636</v>
      </c>
      <c r="G69" s="17" t="s">
        <v>8</v>
      </c>
      <c r="H69" s="20">
        <f t="shared" ref="H69:I69" si="97">SUM(D69/$L$1)</f>
        <v>933.3333333</v>
      </c>
      <c r="I69" s="20">
        <f t="shared" si="97"/>
        <v>42.42424242</v>
      </c>
      <c r="J69" s="21">
        <f>(I69/8)+((I69/8)*220%)</f>
        <v>16.96969697</v>
      </c>
      <c r="K69" s="6"/>
      <c r="L69" s="6"/>
      <c r="M69" s="6"/>
      <c r="N69" s="6"/>
      <c r="O69" s="6"/>
      <c r="P69" s="6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2"/>
      <c r="B70" s="23"/>
      <c r="C70" s="54"/>
      <c r="D70" s="36"/>
      <c r="E70" s="37"/>
      <c r="F70" s="38"/>
      <c r="G70" s="36"/>
      <c r="H70" s="39"/>
      <c r="I70" s="39"/>
      <c r="J70" s="40"/>
      <c r="K70" s="6"/>
      <c r="L70" s="6"/>
      <c r="M70" s="6"/>
      <c r="N70" s="6"/>
      <c r="O70" s="6"/>
      <c r="P70" s="6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2"/>
      <c r="B71" s="23"/>
      <c r="C71" s="49" t="s">
        <v>65</v>
      </c>
      <c r="D71" s="17">
        <v>101000.0</v>
      </c>
      <c r="E71" s="18">
        <f t="shared" ref="E71:E72" si="99">SUM(D71/22)</f>
        <v>4590.909091</v>
      </c>
      <c r="F71" s="19">
        <f t="shared" ref="F71:F72" si="100">(E71/8)+((E71/8)*220%)</f>
        <v>1836.363636</v>
      </c>
      <c r="G71" s="17" t="s">
        <v>8</v>
      </c>
      <c r="H71" s="20">
        <f t="shared" ref="H71:I71" si="98">SUM(D71/$L$1)</f>
        <v>841.6666667</v>
      </c>
      <c r="I71" s="20">
        <f t="shared" si="98"/>
        <v>38.25757576</v>
      </c>
      <c r="J71" s="21">
        <f t="shared" ref="J71:J72" si="102">(I71/8)+((I71/8)*220%)</f>
        <v>15.3030303</v>
      </c>
      <c r="K71" s="6"/>
      <c r="L71" s="6"/>
      <c r="M71" s="6"/>
      <c r="N71" s="6"/>
      <c r="O71" s="6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2"/>
      <c r="B72" s="23"/>
      <c r="C72" s="55" t="s">
        <v>66</v>
      </c>
      <c r="D72" s="28">
        <v>84500.0</v>
      </c>
      <c r="E72" s="29">
        <f t="shared" si="99"/>
        <v>3840.909091</v>
      </c>
      <c r="F72" s="30">
        <f t="shared" si="100"/>
        <v>1536.363636</v>
      </c>
      <c r="G72" s="56"/>
      <c r="H72" s="31">
        <f t="shared" ref="H72:I72" si="101">SUM(D72/$L$1)</f>
        <v>704.1666667</v>
      </c>
      <c r="I72" s="31">
        <f t="shared" si="101"/>
        <v>32.00757576</v>
      </c>
      <c r="J72" s="32">
        <f t="shared" si="102"/>
        <v>12.8030303</v>
      </c>
      <c r="K72" s="6"/>
      <c r="L72" s="6"/>
      <c r="M72" s="6"/>
      <c r="N72" s="6"/>
      <c r="O72" s="6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2"/>
      <c r="B73" s="23"/>
      <c r="C73" s="54"/>
      <c r="D73" s="36"/>
      <c r="E73" s="37"/>
      <c r="F73" s="38"/>
      <c r="G73" s="36"/>
      <c r="H73" s="39"/>
      <c r="I73" s="39"/>
      <c r="J73" s="40"/>
      <c r="K73" s="6"/>
      <c r="L73" s="6"/>
      <c r="M73" s="6"/>
      <c r="N73" s="6"/>
      <c r="O73" s="6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2"/>
      <c r="B74" s="26"/>
      <c r="C74" s="57" t="s">
        <v>67</v>
      </c>
      <c r="D74" s="58">
        <v>73500.0</v>
      </c>
      <c r="E74" s="59">
        <f>SUM(D74/22)</f>
        <v>3340.909091</v>
      </c>
      <c r="F74" s="60">
        <f>(E74/8)+((E74/8)*220%)</f>
        <v>1336.363636</v>
      </c>
      <c r="G74" s="58" t="s">
        <v>8</v>
      </c>
      <c r="H74" s="61">
        <f t="shared" ref="H74:I74" si="103">SUM(D74/$L$1)</f>
        <v>612.5</v>
      </c>
      <c r="I74" s="61">
        <f t="shared" si="103"/>
        <v>27.84090909</v>
      </c>
      <c r="J74" s="62">
        <f>(I74/8)+((I74/8)*220%)</f>
        <v>11.13636364</v>
      </c>
      <c r="K74" s="6"/>
      <c r="L74" s="6"/>
      <c r="M74" s="6"/>
      <c r="N74" s="6"/>
      <c r="O74" s="6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33"/>
      <c r="B75" s="34"/>
      <c r="C75" s="35"/>
      <c r="D75" s="36"/>
      <c r="E75" s="37"/>
      <c r="F75" s="38"/>
      <c r="G75" s="36"/>
      <c r="H75" s="39"/>
      <c r="I75" s="39"/>
      <c r="J75" s="40"/>
      <c r="K75" s="6"/>
      <c r="L75" s="6"/>
      <c r="M75" s="6"/>
      <c r="N75" s="6"/>
      <c r="O75" s="6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1">
        <v>8.0</v>
      </c>
      <c r="B76" s="42" t="s">
        <v>68</v>
      </c>
      <c r="C76" s="43" t="s">
        <v>69</v>
      </c>
      <c r="D76" s="44">
        <v>106500.0</v>
      </c>
      <c r="E76" s="45">
        <f t="shared" ref="E76:E78" si="105">SUM(D76/22)</f>
        <v>4840.909091</v>
      </c>
      <c r="F76" s="46">
        <f t="shared" ref="F76:F78" si="106">(E76/8)+((E76/8)*220%)</f>
        <v>1936.363636</v>
      </c>
      <c r="G76" s="44" t="s">
        <v>8</v>
      </c>
      <c r="H76" s="47">
        <f t="shared" ref="H76:I76" si="104">SUM(D76/$L$1)</f>
        <v>887.5</v>
      </c>
      <c r="I76" s="47">
        <f t="shared" si="104"/>
        <v>40.34090909</v>
      </c>
      <c r="J76" s="48">
        <f t="shared" ref="J76:J78" si="108">(I76/8)+((I76/8)*220%)</f>
        <v>16.13636364</v>
      </c>
      <c r="K76" s="6"/>
      <c r="L76" s="6"/>
      <c r="M76" s="6"/>
      <c r="N76" s="6"/>
      <c r="O76" s="6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2"/>
      <c r="B77" s="23"/>
      <c r="C77" s="55" t="s">
        <v>70</v>
      </c>
      <c r="D77" s="17">
        <v>84500.0</v>
      </c>
      <c r="E77" s="18">
        <f t="shared" si="105"/>
        <v>3840.909091</v>
      </c>
      <c r="F77" s="19">
        <f t="shared" si="106"/>
        <v>1536.363636</v>
      </c>
      <c r="G77" s="56"/>
      <c r="H77" s="20">
        <f t="shared" ref="H77:I77" si="107">SUM(D77/$L$1)</f>
        <v>704.1666667</v>
      </c>
      <c r="I77" s="20">
        <f t="shared" si="107"/>
        <v>32.00757576</v>
      </c>
      <c r="J77" s="21">
        <f t="shared" si="108"/>
        <v>12.8030303</v>
      </c>
      <c r="K77" s="6"/>
      <c r="L77" s="6"/>
      <c r="M77" s="6"/>
      <c r="N77" s="6"/>
      <c r="O77" s="6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63"/>
      <c r="B78" s="64"/>
      <c r="C78" s="65" t="s">
        <v>71</v>
      </c>
      <c r="D78" s="66">
        <v>79000.0</v>
      </c>
      <c r="E78" s="67">
        <f t="shared" si="105"/>
        <v>3590.909091</v>
      </c>
      <c r="F78" s="68">
        <f t="shared" si="106"/>
        <v>1436.363636</v>
      </c>
      <c r="G78" s="69"/>
      <c r="H78" s="70">
        <f t="shared" ref="H78:I78" si="109">SUM(D78/$L$1)</f>
        <v>658.3333333</v>
      </c>
      <c r="I78" s="70">
        <f t="shared" si="109"/>
        <v>29.92424242</v>
      </c>
      <c r="J78" s="71">
        <f t="shared" si="108"/>
        <v>11.96969697</v>
      </c>
      <c r="K78" s="6"/>
      <c r="L78" s="6"/>
      <c r="M78" s="6"/>
      <c r="N78" s="6"/>
      <c r="O78" s="6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6"/>
      <c r="B79" s="6"/>
      <c r="C79" s="6"/>
      <c r="D79" s="6"/>
      <c r="E79" s="72"/>
      <c r="F79" s="6"/>
      <c r="G79" s="6"/>
      <c r="H79" s="73"/>
      <c r="I79" s="6"/>
      <c r="J79" s="6"/>
      <c r="K79" s="6"/>
      <c r="L79" s="6"/>
      <c r="M79" s="6"/>
      <c r="N79" s="6"/>
      <c r="O79" s="6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0">
    <mergeCell ref="A1:J1"/>
    <mergeCell ref="K1:K2"/>
    <mergeCell ref="L1:L2"/>
    <mergeCell ref="A3:A5"/>
    <mergeCell ref="B3:B5"/>
    <mergeCell ref="B7:B11"/>
    <mergeCell ref="K8:P8"/>
    <mergeCell ref="A62:A67"/>
    <mergeCell ref="B62:B67"/>
    <mergeCell ref="A69:A74"/>
    <mergeCell ref="B69:B74"/>
    <mergeCell ref="A76:A78"/>
    <mergeCell ref="B76:B78"/>
    <mergeCell ref="A7:A11"/>
    <mergeCell ref="A13:A23"/>
    <mergeCell ref="B13:B23"/>
    <mergeCell ref="A25:A42"/>
    <mergeCell ref="B25:B42"/>
    <mergeCell ref="A44:A60"/>
    <mergeCell ref="B44:B60"/>
  </mergeCells>
  <drawing r:id="rId1"/>
</worksheet>
</file>